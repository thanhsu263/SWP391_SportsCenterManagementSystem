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" sheetId="1" state="visible" r:id="rId1"/>
    <sheet xmlns:r="http://schemas.openxmlformats.org/officeDocument/2006/relationships" name="Hướng dẫn" sheetId="2" state="visible" r:id="rId2"/>
  </sheets>
  <definedNames>
    <definedName name="_xlnm._FilterDatabase" localSheetId="0" hidden="1">'Todo'!$A$6:$G$86</definedName>
    <definedName name="_xlnm.Print_Titles" localSheetId="0">'Todo'!$1:$5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☑&quot;;&quot;☑&quot;;&quot;☐&quot;"/>
    <numFmt numFmtId="165" formatCode="yyyy-mm-dd"/>
    <numFmt numFmtId="166" formatCode="DD/MM/YYYY"/>
  </numFmts>
  <fonts count="17">
    <font>
      <name val="Calibri"/>
      <family val="2"/>
      <color theme="1"/>
      <sz val="11"/>
      <scheme val="minor"/>
    </font>
    <font>
      <name val="Calibri"/>
      <b val="1"/>
      <color rgb="00FFFFFF"/>
      <sz val="22"/>
    </font>
    <font>
      <name val="Calibri"/>
      <strike val="0"/>
      <color rgb="00FFFFFF"/>
      <sz val="10"/>
    </font>
    <font>
      <name val="Calibri"/>
      <b val="1"/>
      <strike val="0"/>
      <color rgb="005F6368"/>
      <sz val="9"/>
    </font>
    <font>
      <name val="Calibri"/>
      <b val="1"/>
      <color rgb="00202124"/>
      <sz val="14"/>
    </font>
    <font>
      <name val="Calibri"/>
      <b val="1"/>
      <color rgb="00137333"/>
      <sz val="14"/>
    </font>
    <font>
      <name val="Calibri"/>
      <b val="1"/>
      <color rgb="00C5221F"/>
      <sz val="14"/>
    </font>
    <font>
      <name val="Calibri"/>
      <b val="1"/>
      <color rgb="00B06000"/>
      <sz val="14"/>
    </font>
    <font>
      <name val="Calibri"/>
      <b val="1"/>
      <color rgb="001A73E8"/>
      <sz val="14"/>
    </font>
    <font>
      <name val="Consolas"/>
      <b val="1"/>
      <color rgb="001A73E8"/>
      <sz val="12"/>
    </font>
    <font>
      <name val="Calibri"/>
      <b val="1"/>
      <color rgb="00FFFFFF"/>
      <sz val="11"/>
    </font>
    <font>
      <name val="Calibri"/>
      <strike val="0"/>
      <color rgb="00202124"/>
      <sz val="11"/>
    </font>
    <font>
      <name val="Calibri"/>
      <strike val="0"/>
      <color rgb="00202124"/>
      <sz val="9"/>
    </font>
    <font>
      <name val="Calibri"/>
      <strike val="0"/>
      <color rgb="005F6368"/>
      <sz val="9"/>
    </font>
    <font>
      <name val="Calibri"/>
      <b val="1"/>
      <color rgb="00FFFFFF"/>
      <sz val="18"/>
    </font>
    <font>
      <name val="Calibri"/>
      <color rgb="00202124"/>
      <sz val="12"/>
    </font>
    <font>
      <name val="Calibri"/>
      <b val="1"/>
      <color rgb="001A73E8"/>
      <sz val="12"/>
    </font>
  </fonts>
  <fills count="7">
    <fill>
      <patternFill/>
    </fill>
    <fill>
      <patternFill patternType="gray125"/>
    </fill>
    <fill>
      <patternFill patternType="solid">
        <fgColor rgb="001A73E8"/>
      </patternFill>
    </fill>
    <fill>
      <patternFill patternType="solid">
        <fgColor rgb="00174EA6"/>
      </patternFill>
    </fill>
    <fill>
      <patternFill patternType="solid">
        <fgColor rgb="00F8F9FA"/>
      </patternFill>
    </fill>
    <fill>
      <patternFill patternType="solid">
        <fgColor rgb="00FFFFFF"/>
      </patternFill>
    </fill>
    <fill>
      <patternFill patternType="solid">
        <fgColor rgb="003C4043"/>
      </patternFill>
    </fill>
  </fills>
  <borders count="3">
    <border>
      <left/>
      <right/>
      <top/>
      <bottom/>
      <diagonal/>
    </border>
    <border>
      <bottom style="medium">
        <color rgb="001A73E8"/>
      </bottom>
    </border>
    <border>
      <left style="thin">
        <color rgb="00DADCE0"/>
      </left>
      <right style="thin">
        <color rgb="00DADCE0"/>
      </right>
      <top style="thin">
        <color rgb="00DADCE0"/>
      </top>
      <bottom style="thin">
        <color rgb="00DADCE0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2" fillId="3" borderId="0" applyAlignment="1" pivotButton="0" quotePrefix="0" xfId="0">
      <alignment horizontal="left" vertical="center" indent="1"/>
    </xf>
    <xf numFmtId="0" fontId="0" fillId="3" borderId="0" pivotButton="0" quotePrefix="0" xfId="0"/>
    <xf numFmtId="0" fontId="3" fillId="4" borderId="0" applyAlignment="1" pivotButton="0" quotePrefix="0" xfId="0">
      <alignment horizontal="center" vertical="center"/>
    </xf>
    <xf numFmtId="0" fontId="10" fillId="2" borderId="0" applyAlignment="1" pivotButton="0" quotePrefix="0" xfId="0">
      <alignment horizontal="left" vertical="center" indent="1"/>
    </xf>
    <xf numFmtId="0" fontId="4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9" fontId="8" fillId="5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left" vertical="center"/>
    </xf>
    <xf numFmtId="0" fontId="12" fillId="0" borderId="0" applyAlignment="1" pivotButton="0" quotePrefix="0" xfId="0">
      <alignment vertical="center" wrapText="1"/>
    </xf>
    <xf numFmtId="0" fontId="10" fillId="6" borderId="2" applyAlignment="1" pivotButton="0" quotePrefix="0" xfId="0">
      <alignment horizontal="center" vertical="center"/>
    </xf>
    <xf numFmtId="164" fontId="11" fillId="5" borderId="2" applyAlignment="1" pivotButton="0" quotePrefix="0" xfId="0">
      <alignment horizontal="center" vertical="center"/>
    </xf>
    <xf numFmtId="0" fontId="11" fillId="5" borderId="2" applyAlignment="1" pivotButton="0" quotePrefix="0" xfId="0">
      <alignment horizontal="left" vertical="center" indent="1"/>
    </xf>
    <xf numFmtId="0" fontId="11" fillId="5" borderId="2" applyAlignment="1" pivotButton="0" quotePrefix="0" xfId="0">
      <alignment horizontal="center" vertical="center"/>
    </xf>
    <xf numFmtId="166" fontId="11" fillId="5" borderId="2" applyAlignment="1" pivotButton="0" quotePrefix="0" xfId="0">
      <alignment horizontal="center" vertical="center"/>
    </xf>
    <xf numFmtId="164" fontId="11" fillId="4" borderId="2" applyAlignment="1" pivotButton="0" quotePrefix="0" xfId="0">
      <alignment horizontal="center" vertical="center"/>
    </xf>
    <xf numFmtId="0" fontId="11" fillId="4" borderId="2" applyAlignment="1" pivotButton="0" quotePrefix="0" xfId="0">
      <alignment horizontal="left" vertical="center" indent="1"/>
    </xf>
    <xf numFmtId="0" fontId="11" fillId="4" borderId="2" applyAlignment="1" pivotButton="0" quotePrefix="0" xfId="0">
      <alignment horizontal="center" vertical="center"/>
    </xf>
    <xf numFmtId="166" fontId="11" fillId="4" borderId="2" applyAlignment="1" pivotButton="0" quotePrefix="0" xfId="0">
      <alignment horizontal="center" vertical="center"/>
    </xf>
    <xf numFmtId="0" fontId="13" fillId="0" borderId="0" pivotButton="0" quotePrefix="0" xfId="0"/>
    <xf numFmtId="0" fontId="14" fillId="2" borderId="0" applyAlignment="1" pivotButton="0" quotePrefix="0" xfId="0">
      <alignment vertical="center" indent="1"/>
    </xf>
    <xf numFmtId="0" fontId="15" fillId="0" borderId="0" pivotButton="0" quotePrefix="0" xfId="0"/>
    <xf numFmtId="0" fontId="16" fillId="0" borderId="0" pivotButton="0" quotePrefix="0" xfId="0"/>
  </cellXfs>
  <cellStyles count="1">
    <cellStyle name="Normal" xfId="0" builtinId="0" hidden="0"/>
  </cellStyles>
  <dxfs count="6">
    <dxf>
      <font>
        <name val="Calibri"/>
        <strike val="1"/>
        <color rgb="0080868B"/>
      </font>
      <fill>
        <patternFill patternType="solid">
          <fgColor rgb="00E6F4EA"/>
        </patternFill>
      </fill>
    </dxf>
    <dxf>
      <font>
        <name val="Calibri"/>
        <b val="1"/>
        <color rgb="00C5221F"/>
      </font>
      <fill>
        <patternFill patternType="solid">
          <fgColor rgb="00FCE8E6"/>
        </patternFill>
      </fill>
    </dxf>
    <dxf>
      <font>
        <name val="Calibri"/>
        <b val="1"/>
        <color rgb="00B06000"/>
      </font>
      <fill>
        <patternFill patternType="solid">
          <fgColor rgb="00FEF7E0"/>
        </patternFill>
      </fill>
    </dxf>
    <dxf>
      <font>
        <name val="Calibri"/>
        <b val="1"/>
        <color rgb="00137333"/>
      </font>
      <fill>
        <patternFill patternType="solid">
          <fgColor rgb="00E6F4EA"/>
        </patternFill>
      </fill>
    </dxf>
    <dxf>
      <font>
        <name val="Calibri"/>
        <color rgb="00B06000"/>
      </font>
      <fill>
        <patternFill patternType="solid">
          <fgColor rgb="00FEEFC3"/>
        </patternFill>
      </fill>
    </dxf>
    <dxf>
      <font>
        <name val="Calibri"/>
        <color rgb="001A73E8"/>
      </font>
      <fill>
        <patternFill patternType="solid">
          <fgColor rgb="00E8F0F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style val="10"/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'Todo'!$I$16:$I$17</f>
            </numRef>
          </cat>
          <val>
            <numRef>
              <f>'Todo'!$J$16:$J$17</f>
            </numRef>
          </val>
        </ser>
        <firstSliceAng val="0"/>
        <holeSize val="65"/>
      </doughnutChart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8</col>
      <colOff>0</colOff>
      <row>18</row>
      <rowOff>0</rowOff>
    </from>
    <ext cx="2880000" cy="21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A73E8"/>
    <outlinePr summaryBelow="1" summaryRight="1"/>
    <pageSetUpPr fitToPage="1"/>
  </sheetPr>
  <dimension ref="A1:J86"/>
  <sheetViews>
    <sheetView showGridLines="0" zoomScale="12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46" customWidth="1" min="2" max="2"/>
    <col width="14" customWidth="1" min="3" max="3"/>
    <col width="16" customWidth="1" min="4" max="4"/>
    <col width="14" customWidth="1" min="5" max="5"/>
    <col width="14" customWidth="1" min="6" max="6"/>
    <col width="32" customWidth="1" min="7" max="7"/>
    <col width="3" customWidth="1" min="8" max="8"/>
    <col width="18" customWidth="1" min="9" max="9"/>
    <col width="12" customWidth="1" min="10" max="10"/>
  </cols>
  <sheetData>
    <row r="1" ht="36" customHeight="1">
      <c r="A1" s="1" t="inlineStr">
        <is>
          <t>TODO LIST</t>
        </is>
      </c>
      <c r="B1" s="2" t="n"/>
      <c r="C1" s="2" t="n"/>
      <c r="D1" s="2" t="n"/>
      <c r="E1" s="2" t="n"/>
      <c r="F1" s="2" t="n"/>
      <c r="G1" s="2" t="n"/>
    </row>
    <row r="2" ht="20" customHeight="1">
      <c r="A2" s="3" t="inlineStr">
        <is>
          <t>Semester 5  ·  tick cột Xong khi hoàn thành  ·  mở file này bằng Google Sheets</t>
        </is>
      </c>
      <c r="B2" s="4" t="n"/>
      <c r="C2" s="4" t="n"/>
      <c r="D2" s="4" t="n"/>
      <c r="E2" s="4" t="n"/>
      <c r="F2" s="4" t="n"/>
      <c r="G2" s="4" t="n"/>
    </row>
    <row r="3" ht="8" customHeight="1"/>
    <row r="4" ht="22" customHeight="1">
      <c r="A4" s="5" t="inlineStr">
        <is>
          <t>Tổng</t>
        </is>
      </c>
      <c r="B4" s="5" t="inlineStr">
        <is>
          <t>Đã xong</t>
        </is>
      </c>
      <c r="C4" s="5" t="inlineStr">
        <is>
          <t>Còn lại</t>
        </is>
      </c>
      <c r="D4" s="5" t="inlineStr">
        <is>
          <t>Trễ hạn</t>
        </is>
      </c>
      <c r="E4" s="5" t="inlineStr">
        <is>
          <t>Hôm nay</t>
        </is>
      </c>
      <c r="F4" s="5" t="inlineStr">
        <is>
          <t>Tiến độ</t>
        </is>
      </c>
      <c r="G4" s="5" t="inlineStr"/>
      <c r="I4" s="6" t="inlineStr">
        <is>
          <t>Cách dùng</t>
        </is>
      </c>
      <c r="J4" s="2" t="n"/>
    </row>
    <row r="5" ht="24" customHeight="1">
      <c r="A5" s="7">
        <f>COUNTA($B$7:$B$86)</f>
        <v/>
      </c>
      <c r="B5" s="8">
        <f>COUNTIF($A$7:$A$86,TRUE)</f>
        <v/>
      </c>
      <c r="C5" s="7">
        <f>MAX(0,A5-B5)</f>
        <v/>
      </c>
      <c r="D5" s="9">
        <f>COUNTIF($F$7:$F$86,"Trễ hạn")</f>
        <v/>
      </c>
      <c r="E5" s="10">
        <f>COUNTIF($F$7:$F$86,"Hôm nay")</f>
        <v/>
      </c>
      <c r="F5" s="11">
        <f>IFERROR(B5/A5,0)</f>
        <v/>
      </c>
      <c r="G5" s="12">
        <f>REPT("█",ROUND(IFERROR(B5/A5,0)*18,0))&amp;REPT("░",18-ROUND(IFERROR(B5/A5,0)*18,0))</f>
        <v/>
      </c>
      <c r="I5" s="13" t="inlineStr">
        <is>
          <t>1. Upload file lên Google Drive</t>
        </is>
      </c>
    </row>
    <row r="6" ht="22" customHeight="1">
      <c r="A6" s="14" t="inlineStr">
        <is>
          <t>Xong</t>
        </is>
      </c>
      <c r="B6" s="14" t="inlineStr">
        <is>
          <t>Việc cần làm</t>
        </is>
      </c>
      <c r="C6" s="14" t="inlineStr">
        <is>
          <t>Ưu tiên</t>
        </is>
      </c>
      <c r="D6" s="14" t="inlineStr">
        <is>
          <t>Phân loại</t>
        </is>
      </c>
      <c r="E6" s="14" t="inlineStr">
        <is>
          <t>Hạn</t>
        </is>
      </c>
      <c r="F6" s="14" t="inlineStr">
        <is>
          <t>Trạng thái</t>
        </is>
      </c>
      <c r="G6" s="14" t="inlineStr">
        <is>
          <t>Ghi chú</t>
        </is>
      </c>
      <c r="I6" s="13" t="inlineStr">
        <is>
          <t>2. Mở bằng Google Sheets</t>
        </is>
      </c>
    </row>
    <row r="7" ht="20" customHeight="1">
      <c r="A7" s="15" t="b">
        <v>1</v>
      </c>
      <c r="B7" s="16" t="inlineStr">
        <is>
          <t>Cài Git, VS Code, JDK/Node</t>
        </is>
      </c>
      <c r="C7" s="17" t="inlineStr">
        <is>
          <t>Trung bình</t>
        </is>
      </c>
      <c r="D7" s="17" t="inlineStr">
        <is>
          <t>Setup</t>
        </is>
      </c>
      <c r="E7" s="18" t="n">
        <v>46266</v>
      </c>
      <c r="F7" s="17">
        <f>IF(B7="","",IF(A7=TRUE,"Xong",IF(E7="","",IF(E7&lt;TODAY(),"Trễ hạn",IF(E7=TODAY(),"Hôm nay","Sắp tới")))))</f>
        <v/>
      </c>
      <c r="G7" s="16" t="inlineStr">
        <is>
          <t>Xong môi trường máy</t>
        </is>
      </c>
      <c r="I7" s="13" t="inlineStr">
        <is>
          <t>3. Chọn A7:A86 → Insert → Checkbox</t>
        </is>
      </c>
    </row>
    <row r="8" ht="20" customHeight="1">
      <c r="A8" s="19" t="b">
        <v>1</v>
      </c>
      <c r="B8" s="20" t="inlineStr">
        <is>
          <t>Tạo / clone repo SWP391 Sports Center</t>
        </is>
      </c>
      <c r="C8" s="21" t="inlineStr">
        <is>
          <t>Cao</t>
        </is>
      </c>
      <c r="D8" s="21" t="inlineStr">
        <is>
          <t>Đồ án</t>
        </is>
      </c>
      <c r="E8" s="22" t="n">
        <v>46270</v>
      </c>
      <c r="F8" s="21">
        <f>IF(B8="","",IF(A8=TRUE,"Xong",IF(E8="","",IF(E8&lt;TODAY(),"Trễ hạn",IF(E8=TODAY(),"Hôm nay","Sắp tới")))))</f>
        <v/>
      </c>
      <c r="G8" s="20" t="inlineStr">
        <is>
          <t>Nhớ add teammate</t>
        </is>
      </c>
      <c r="I8" s="13" t="inlineStr">
        <is>
          <t>4. Tick = xong, Status tự cập nhật</t>
        </is>
      </c>
    </row>
    <row r="9" ht="20" customHeight="1">
      <c r="A9" s="15" t="b">
        <v>0</v>
      </c>
      <c r="B9" s="16" t="inlineStr">
        <is>
          <t>Đọc đề bài + scope SWP391</t>
        </is>
      </c>
      <c r="C9" s="17" t="inlineStr">
        <is>
          <t>Cao</t>
        </is>
      </c>
      <c r="D9" s="17" t="inlineStr">
        <is>
          <t>Đồ án</t>
        </is>
      </c>
      <c r="E9" s="18" t="n">
        <v>46272</v>
      </c>
      <c r="F9" s="17">
        <f>IF(B9="","",IF(A9=TRUE,"Xong",IF(E9="","",IF(E9&lt;TODAY(),"Trễ hạn",IF(E9=TODAY(),"Hôm nay","Sắp tới")))))</f>
        <v/>
      </c>
      <c r="G9" s="16" t="inlineStr">
        <is>
          <t>Ghi lại câu hỏi cho mentor</t>
        </is>
      </c>
      <c r="I9" s="13" t="inlineStr">
        <is>
          <t>5. Lọc header theo Ưu tiên / Hạn</t>
        </is>
      </c>
    </row>
    <row r="10" ht="20" customHeight="1">
      <c r="A10" s="19" t="b">
        <v>0</v>
      </c>
      <c r="B10" s="20" t="inlineStr">
        <is>
          <t>Họp nhóm kickoff — chia việc sprint 1</t>
        </is>
      </c>
      <c r="C10" s="21" t="inlineStr">
        <is>
          <t>Cao</t>
        </is>
      </c>
      <c r="D10" s="21" t="inlineStr">
        <is>
          <t>Đồ án</t>
        </is>
      </c>
      <c r="E10" s="22" t="n">
        <v>46273</v>
      </c>
      <c r="F10" s="21">
        <f>IF(B10="","",IF(A10=TRUE,"Xong",IF(E10="","",IF(E10&lt;TODAY(),"Trễ hạn",IF(E10=TODAY(),"Hôm nay","Sắp tới")))))</f>
        <v/>
      </c>
      <c r="G10" s="20" t="inlineStr">
        <is>
          <t>Chốt role: BE / FE / DB</t>
        </is>
      </c>
    </row>
    <row r="11" ht="20" customHeight="1">
      <c r="A11" s="15" t="b">
        <v>0</v>
      </c>
      <c r="B11" s="16" t="inlineStr">
        <is>
          <t>Thiết kế ERD database Sports Center</t>
        </is>
      </c>
      <c r="C11" s="17" t="inlineStr">
        <is>
          <t>Cao</t>
        </is>
      </c>
      <c r="D11" s="17" t="inlineStr">
        <is>
          <t>Đồ án</t>
        </is>
      </c>
      <c r="E11" s="18" t="n">
        <v>46277</v>
      </c>
      <c r="F11" s="17">
        <f>IF(B11="","",IF(A11=TRUE,"Xong",IF(E11="","",IF(E11&lt;TODAY(),"Trễ hạn",IF(E11=TODAY(),"Hôm nay","Sắp tới")))))</f>
        <v/>
      </c>
      <c r="G11" s="16" t="inlineStr">
        <is>
          <t>Court, Booking, User, Payment</t>
        </is>
      </c>
      <c r="I11" s="13" t="inlineStr">
        <is>
          <t>Cao = làm trước</t>
        </is>
      </c>
    </row>
    <row r="12" ht="20" customHeight="1">
      <c r="A12" s="19" t="b">
        <v>0</v>
      </c>
      <c r="B12" s="20" t="inlineStr">
        <is>
          <t>Viết use case + SRS draft</t>
        </is>
      </c>
      <c r="C12" s="21" t="inlineStr">
        <is>
          <t>Cao</t>
        </is>
      </c>
      <c r="D12" s="21" t="inlineStr">
        <is>
          <t>Đồ án</t>
        </is>
      </c>
      <c r="E12" s="22" t="n">
        <v>46280</v>
      </c>
      <c r="F12" s="21">
        <f>IF(B12="","",IF(A12=TRUE,"Xong",IF(E12="","",IF(E12&lt;TODAY(),"Trễ hạn",IF(E12=TODAY(),"Hôm nay","Sắp tới")))))</f>
        <v/>
      </c>
      <c r="G12" s="20" t="inlineStr"/>
      <c r="I12" s="13" t="inlineStr">
        <is>
          <t>Trễ hạn = quá TODAY()</t>
        </is>
      </c>
    </row>
    <row r="13" ht="20" customHeight="1">
      <c r="A13" s="15" t="b">
        <v>0</v>
      </c>
      <c r="B13" s="16" t="inlineStr">
        <is>
          <t>Setup project backend + database</t>
        </is>
      </c>
      <c r="C13" s="17" t="inlineStr">
        <is>
          <t>Cao</t>
        </is>
      </c>
      <c r="D13" s="17" t="inlineStr">
        <is>
          <t>Đồ án</t>
        </is>
      </c>
      <c r="E13" s="18" t="n">
        <v>46283</v>
      </c>
      <c r="F13" s="17">
        <f>IF(B13="","",IF(A13=TRUE,"Xong",IF(E13="","",IF(E13&lt;TODAY(),"Trễ hạn",IF(E13=TODAY(),"Hôm nay","Sắp tới")))))</f>
        <v/>
      </c>
      <c r="G13" s="16" t="inlineStr"/>
      <c r="I13" s="13" t="inlineStr">
        <is>
          <t>Thêm việc: gõ vào hàng trống</t>
        </is>
      </c>
    </row>
    <row r="14" ht="20" customHeight="1">
      <c r="A14" s="19" t="b">
        <v>0</v>
      </c>
      <c r="B14" s="20" t="inlineStr">
        <is>
          <t>Làm slide / báo cáo tuần 1</t>
        </is>
      </c>
      <c r="C14" s="21" t="inlineStr">
        <is>
          <t>Trung bình</t>
        </is>
      </c>
      <c r="D14" s="21" t="inlineStr">
        <is>
          <t>Đồ án</t>
        </is>
      </c>
      <c r="E14" s="22" t="n">
        <v>46285</v>
      </c>
      <c r="F14" s="21">
        <f>IF(B14="","",IF(A14=TRUE,"Xong",IF(E14="","",IF(E14&lt;TODAY(),"Trễ hạn",IF(E14=TODAY(),"Hôm nay","Sắp tới")))))</f>
        <v/>
      </c>
      <c r="G14" s="20" t="inlineStr"/>
    </row>
    <row r="15" ht="20" customHeight="1">
      <c r="A15" s="15" t="b">
        <v>0</v>
      </c>
      <c r="B15" s="16" t="inlineStr">
        <is>
          <t>Ôn giữa kỳ</t>
        </is>
      </c>
      <c r="C15" s="17" t="inlineStr">
        <is>
          <t>Cao</t>
        </is>
      </c>
      <c r="D15" s="17" t="inlineStr">
        <is>
          <t>Môn học</t>
        </is>
      </c>
      <c r="E15" s="18" t="n">
        <v>46295</v>
      </c>
      <c r="F15" s="17">
        <f>IF(B15="","",IF(A15=TRUE,"Xong",IF(E15="","",IF(E15&lt;TODAY(),"Trễ hạn",IF(E15=TODAY(),"Hôm nay","Sắp tới")))))</f>
        <v/>
      </c>
      <c r="G15" s="16" t="inlineStr">
        <is>
          <t>Ghép lịch các môn</t>
        </is>
      </c>
    </row>
    <row r="16" ht="20" customHeight="1">
      <c r="A16" s="19" t="b">
        <v>0</v>
      </c>
      <c r="B16" s="20" t="inlineStr">
        <is>
          <t>Nộp assignment tuần này</t>
        </is>
      </c>
      <c r="C16" s="21" t="inlineStr">
        <is>
          <t>Cao</t>
        </is>
      </c>
      <c r="D16" s="21" t="inlineStr">
        <is>
          <t>Môn học</t>
        </is>
      </c>
      <c r="E16" s="22" t="n">
        <v>46276</v>
      </c>
      <c r="F16" s="21">
        <f>IF(B16="","",IF(A16=TRUE,"Xong",IF(E16="","",IF(E16&lt;TODAY(),"Trễ hạn",IF(E16=TODAY(),"Hôm nay","Sắp tới")))))</f>
        <v/>
      </c>
      <c r="G16" s="20" t="inlineStr"/>
      <c r="I16" s="23" t="inlineStr">
        <is>
          <t>Xong</t>
        </is>
      </c>
      <c r="J16" s="23">
        <f>B5</f>
        <v/>
      </c>
    </row>
    <row r="17" ht="20" customHeight="1">
      <c r="A17" s="15" t="b">
        <v>0</v>
      </c>
      <c r="B17" s="16" t="inlineStr">
        <is>
          <t>Đăng ký lịch tập / sinh hoạt</t>
        </is>
      </c>
      <c r="C17" s="17" t="inlineStr">
        <is>
          <t>Thấp</t>
        </is>
      </c>
      <c r="D17" s="17" t="inlineStr">
        <is>
          <t>Cá nhân</t>
        </is>
      </c>
      <c r="E17" s="18" t="n">
        <v>46275</v>
      </c>
      <c r="F17" s="17">
        <f>IF(B17="","",IF(A17=TRUE,"Xong",IF(E17="","",IF(E17&lt;TODAY(),"Trễ hạn",IF(E17=TODAY(),"Hôm nay","Sắp tới")))))</f>
        <v/>
      </c>
      <c r="G17" s="16" t="inlineStr"/>
      <c r="I17" s="23" t="inlineStr">
        <is>
          <t>Còn</t>
        </is>
      </c>
      <c r="J17" s="23">
        <f>C5</f>
        <v/>
      </c>
    </row>
    <row r="18" ht="20" customHeight="1">
      <c r="A18" s="19" t="b">
        <v>0</v>
      </c>
      <c r="B18" s="20" t="inlineStr">
        <is>
          <t>Backup tài liệu học kỳ 5 lên Drive</t>
        </is>
      </c>
      <c r="C18" s="21" t="inlineStr">
        <is>
          <t>Thấp</t>
        </is>
      </c>
      <c r="D18" s="21" t="inlineStr">
        <is>
          <t>Cá nhân</t>
        </is>
      </c>
      <c r="E18" s="22" t="n">
        <v>46279</v>
      </c>
      <c r="F18" s="21">
        <f>IF(B18="","",IF(A18=TRUE,"Xong",IF(E18="","",IF(E18&lt;TODAY(),"Trễ hạn",IF(E18=TODAY(),"Hôm nay","Sắp tới")))))</f>
        <v/>
      </c>
      <c r="G18" s="20" t="inlineStr"/>
    </row>
    <row r="19" ht="20" customHeight="1">
      <c r="A19" s="15" t="n"/>
      <c r="B19" s="16" t="n"/>
      <c r="C19" s="17" t="n"/>
      <c r="D19" s="17" t="n"/>
      <c r="E19" s="18" t="n"/>
      <c r="F19" s="17">
        <f>IF(B19="","",IF(A19=TRUE,"Xong",IF(E19="","",IF(E19&lt;TODAY(),"Trễ hạn",IF(E19=TODAY(),"Hôm nay","Sắp tới")))))</f>
        <v/>
      </c>
      <c r="G19" s="16" t="n"/>
    </row>
    <row r="20" ht="20" customHeight="1">
      <c r="A20" s="19" t="n"/>
      <c r="B20" s="20" t="n"/>
      <c r="C20" s="21" t="n"/>
      <c r="D20" s="21" t="n"/>
      <c r="E20" s="22" t="n"/>
      <c r="F20" s="21">
        <f>IF(B20="","",IF(A20=TRUE,"Xong",IF(E20="","",IF(E20&lt;TODAY(),"Trễ hạn",IF(E20=TODAY(),"Hôm nay","Sắp tới")))))</f>
        <v/>
      </c>
      <c r="G20" s="20" t="n"/>
    </row>
    <row r="21" ht="20" customHeight="1">
      <c r="A21" s="15" t="n"/>
      <c r="B21" s="16" t="n"/>
      <c r="C21" s="17" t="n"/>
      <c r="D21" s="17" t="n"/>
      <c r="E21" s="18" t="n"/>
      <c r="F21" s="17">
        <f>IF(B21="","",IF(A21=TRUE,"Xong",IF(E21="","",IF(E21&lt;TODAY(),"Trễ hạn",IF(E21=TODAY(),"Hôm nay","Sắp tới")))))</f>
        <v/>
      </c>
      <c r="G21" s="16" t="n"/>
    </row>
    <row r="22" ht="20" customHeight="1">
      <c r="A22" s="19" t="n"/>
      <c r="B22" s="20" t="n"/>
      <c r="C22" s="21" t="n"/>
      <c r="D22" s="21" t="n"/>
      <c r="E22" s="22" t="n"/>
      <c r="F22" s="21">
        <f>IF(B22="","",IF(A22=TRUE,"Xong",IF(E22="","",IF(E22&lt;TODAY(),"Trễ hạn",IF(E22=TODAY(),"Hôm nay","Sắp tới")))))</f>
        <v/>
      </c>
      <c r="G22" s="20" t="n"/>
    </row>
    <row r="23" ht="20" customHeight="1">
      <c r="A23" s="15" t="n"/>
      <c r="B23" s="16" t="n"/>
      <c r="C23" s="17" t="n"/>
      <c r="D23" s="17" t="n"/>
      <c r="E23" s="18" t="n"/>
      <c r="F23" s="17">
        <f>IF(B23="","",IF(A23=TRUE,"Xong",IF(E23="","",IF(E23&lt;TODAY(),"Trễ hạn",IF(E23=TODAY(),"Hôm nay","Sắp tới")))))</f>
        <v/>
      </c>
      <c r="G23" s="16" t="n"/>
    </row>
    <row r="24" ht="20" customHeight="1">
      <c r="A24" s="19" t="n"/>
      <c r="B24" s="20" t="n"/>
      <c r="C24" s="21" t="n"/>
      <c r="D24" s="21" t="n"/>
      <c r="E24" s="22" t="n"/>
      <c r="F24" s="21">
        <f>IF(B24="","",IF(A24=TRUE,"Xong",IF(E24="","",IF(E24&lt;TODAY(),"Trễ hạn",IF(E24=TODAY(),"Hôm nay","Sắp tới")))))</f>
        <v/>
      </c>
      <c r="G24" s="20" t="n"/>
    </row>
    <row r="25" ht="20" customHeight="1">
      <c r="A25" s="15" t="n"/>
      <c r="B25" s="16" t="n"/>
      <c r="C25" s="17" t="n"/>
      <c r="D25" s="17" t="n"/>
      <c r="E25" s="18" t="n"/>
      <c r="F25" s="17">
        <f>IF(B25="","",IF(A25=TRUE,"Xong",IF(E25="","",IF(E25&lt;TODAY(),"Trễ hạn",IF(E25=TODAY(),"Hôm nay","Sắp tới")))))</f>
        <v/>
      </c>
      <c r="G25" s="16" t="n"/>
    </row>
    <row r="26" ht="20" customHeight="1">
      <c r="A26" s="19" t="n"/>
      <c r="B26" s="20" t="n"/>
      <c r="C26" s="21" t="n"/>
      <c r="D26" s="21" t="n"/>
      <c r="E26" s="22" t="n"/>
      <c r="F26" s="21">
        <f>IF(B26="","",IF(A26=TRUE,"Xong",IF(E26="","",IF(E26&lt;TODAY(),"Trễ hạn",IF(E26=TODAY(),"Hôm nay","Sắp tới")))))</f>
        <v/>
      </c>
      <c r="G26" s="20" t="n"/>
    </row>
    <row r="27" ht="20" customHeight="1">
      <c r="A27" s="15" t="n"/>
      <c r="B27" s="16" t="n"/>
      <c r="C27" s="17" t="n"/>
      <c r="D27" s="17" t="n"/>
      <c r="E27" s="18" t="n"/>
      <c r="F27" s="17">
        <f>IF(B27="","",IF(A27=TRUE,"Xong",IF(E27="","",IF(E27&lt;TODAY(),"Trễ hạn",IF(E27=TODAY(),"Hôm nay","Sắp tới")))))</f>
        <v/>
      </c>
      <c r="G27" s="16" t="n"/>
    </row>
    <row r="28" ht="20" customHeight="1">
      <c r="A28" s="19" t="n"/>
      <c r="B28" s="20" t="n"/>
      <c r="C28" s="21" t="n"/>
      <c r="D28" s="21" t="n"/>
      <c r="E28" s="22" t="n"/>
      <c r="F28" s="21">
        <f>IF(B28="","",IF(A28=TRUE,"Xong",IF(E28="","",IF(E28&lt;TODAY(),"Trễ hạn",IF(E28=TODAY(),"Hôm nay","Sắp tới")))))</f>
        <v/>
      </c>
      <c r="G28" s="20" t="n"/>
    </row>
    <row r="29" ht="20" customHeight="1">
      <c r="A29" s="15" t="n"/>
      <c r="B29" s="16" t="n"/>
      <c r="C29" s="17" t="n"/>
      <c r="D29" s="17" t="n"/>
      <c r="E29" s="18" t="n"/>
      <c r="F29" s="17">
        <f>IF(B29="","",IF(A29=TRUE,"Xong",IF(E29="","",IF(E29&lt;TODAY(),"Trễ hạn",IF(E29=TODAY(),"Hôm nay","Sắp tới")))))</f>
        <v/>
      </c>
      <c r="G29" s="16" t="n"/>
    </row>
    <row r="30" ht="20" customHeight="1">
      <c r="A30" s="19" t="n"/>
      <c r="B30" s="20" t="n"/>
      <c r="C30" s="21" t="n"/>
      <c r="D30" s="21" t="n"/>
      <c r="E30" s="22" t="n"/>
      <c r="F30" s="21">
        <f>IF(B30="","",IF(A30=TRUE,"Xong",IF(E30="","",IF(E30&lt;TODAY(),"Trễ hạn",IF(E30=TODAY(),"Hôm nay","Sắp tới")))))</f>
        <v/>
      </c>
      <c r="G30" s="20" t="n"/>
    </row>
    <row r="31" ht="20" customHeight="1">
      <c r="A31" s="15" t="n"/>
      <c r="B31" s="16" t="n"/>
      <c r="C31" s="17" t="n"/>
      <c r="D31" s="17" t="n"/>
      <c r="E31" s="18" t="n"/>
      <c r="F31" s="17">
        <f>IF(B31="","",IF(A31=TRUE,"Xong",IF(E31="","",IF(E31&lt;TODAY(),"Trễ hạn",IF(E31=TODAY(),"Hôm nay","Sắp tới")))))</f>
        <v/>
      </c>
      <c r="G31" s="16" t="n"/>
    </row>
    <row r="32" ht="20" customHeight="1">
      <c r="A32" s="19" t="n"/>
      <c r="B32" s="20" t="n"/>
      <c r="C32" s="21" t="n"/>
      <c r="D32" s="21" t="n"/>
      <c r="E32" s="22" t="n"/>
      <c r="F32" s="21">
        <f>IF(B32="","",IF(A32=TRUE,"Xong",IF(E32="","",IF(E32&lt;TODAY(),"Trễ hạn",IF(E32=TODAY(),"Hôm nay","Sắp tới")))))</f>
        <v/>
      </c>
      <c r="G32" s="20" t="n"/>
    </row>
    <row r="33" ht="20" customHeight="1">
      <c r="A33" s="15" t="n"/>
      <c r="B33" s="16" t="n"/>
      <c r="C33" s="17" t="n"/>
      <c r="D33" s="17" t="n"/>
      <c r="E33" s="18" t="n"/>
      <c r="F33" s="17">
        <f>IF(B33="","",IF(A33=TRUE,"Xong",IF(E33="","",IF(E33&lt;TODAY(),"Trễ hạn",IF(E33=TODAY(),"Hôm nay","Sắp tới")))))</f>
        <v/>
      </c>
      <c r="G33" s="16" t="n"/>
    </row>
    <row r="34" ht="20" customHeight="1">
      <c r="A34" s="19" t="n"/>
      <c r="B34" s="20" t="n"/>
      <c r="C34" s="21" t="n"/>
      <c r="D34" s="21" t="n"/>
      <c r="E34" s="22" t="n"/>
      <c r="F34" s="21">
        <f>IF(B34="","",IF(A34=TRUE,"Xong",IF(E34="","",IF(E34&lt;TODAY(),"Trễ hạn",IF(E34=TODAY(),"Hôm nay","Sắp tới")))))</f>
        <v/>
      </c>
      <c r="G34" s="20" t="n"/>
    </row>
    <row r="35" ht="20" customHeight="1">
      <c r="A35" s="15" t="n"/>
      <c r="B35" s="16" t="n"/>
      <c r="C35" s="17" t="n"/>
      <c r="D35" s="17" t="n"/>
      <c r="E35" s="18" t="n"/>
      <c r="F35" s="17">
        <f>IF(B35="","",IF(A35=TRUE,"Xong",IF(E35="","",IF(E35&lt;TODAY(),"Trễ hạn",IF(E35=TODAY(),"Hôm nay","Sắp tới")))))</f>
        <v/>
      </c>
      <c r="G35" s="16" t="n"/>
    </row>
    <row r="36" ht="20" customHeight="1">
      <c r="A36" s="19" t="n"/>
      <c r="B36" s="20" t="n"/>
      <c r="C36" s="21" t="n"/>
      <c r="D36" s="21" t="n"/>
      <c r="E36" s="22" t="n"/>
      <c r="F36" s="21">
        <f>IF(B36="","",IF(A36=TRUE,"Xong",IF(E36="","",IF(E36&lt;TODAY(),"Trễ hạn",IF(E36=TODAY(),"Hôm nay","Sắp tới")))))</f>
        <v/>
      </c>
      <c r="G36" s="20" t="n"/>
    </row>
    <row r="37" ht="20" customHeight="1">
      <c r="A37" s="15" t="n"/>
      <c r="B37" s="16" t="n"/>
      <c r="C37" s="17" t="n"/>
      <c r="D37" s="17" t="n"/>
      <c r="E37" s="18" t="n"/>
      <c r="F37" s="17">
        <f>IF(B37="","",IF(A37=TRUE,"Xong",IF(E37="","",IF(E37&lt;TODAY(),"Trễ hạn",IF(E37=TODAY(),"Hôm nay","Sắp tới")))))</f>
        <v/>
      </c>
      <c r="G37" s="16" t="n"/>
    </row>
    <row r="38" ht="20" customHeight="1">
      <c r="A38" s="19" t="n"/>
      <c r="B38" s="20" t="n"/>
      <c r="C38" s="21" t="n"/>
      <c r="D38" s="21" t="n"/>
      <c r="E38" s="22" t="n"/>
      <c r="F38" s="21">
        <f>IF(B38="","",IF(A38=TRUE,"Xong",IF(E38="","",IF(E38&lt;TODAY(),"Trễ hạn",IF(E38=TODAY(),"Hôm nay","Sắp tới")))))</f>
        <v/>
      </c>
      <c r="G38" s="20" t="n"/>
    </row>
    <row r="39" ht="20" customHeight="1">
      <c r="A39" s="15" t="n"/>
      <c r="B39" s="16" t="n"/>
      <c r="C39" s="17" t="n"/>
      <c r="D39" s="17" t="n"/>
      <c r="E39" s="18" t="n"/>
      <c r="F39" s="17">
        <f>IF(B39="","",IF(A39=TRUE,"Xong",IF(E39="","",IF(E39&lt;TODAY(),"Trễ hạn",IF(E39=TODAY(),"Hôm nay","Sắp tới")))))</f>
        <v/>
      </c>
      <c r="G39" s="16" t="n"/>
    </row>
    <row r="40" ht="20" customHeight="1">
      <c r="A40" s="19" t="n"/>
      <c r="B40" s="20" t="n"/>
      <c r="C40" s="21" t="n"/>
      <c r="D40" s="21" t="n"/>
      <c r="E40" s="22" t="n"/>
      <c r="F40" s="21">
        <f>IF(B40="","",IF(A40=TRUE,"Xong",IF(E40="","",IF(E40&lt;TODAY(),"Trễ hạn",IF(E40=TODAY(),"Hôm nay","Sắp tới")))))</f>
        <v/>
      </c>
      <c r="G40" s="20" t="n"/>
    </row>
    <row r="41" ht="20" customHeight="1">
      <c r="A41" s="15" t="n"/>
      <c r="B41" s="16" t="n"/>
      <c r="C41" s="17" t="n"/>
      <c r="D41" s="17" t="n"/>
      <c r="E41" s="18" t="n"/>
      <c r="F41" s="17">
        <f>IF(B41="","",IF(A41=TRUE,"Xong",IF(E41="","",IF(E41&lt;TODAY(),"Trễ hạn",IF(E41=TODAY(),"Hôm nay","Sắp tới")))))</f>
        <v/>
      </c>
      <c r="G41" s="16" t="n"/>
    </row>
    <row r="42" ht="20" customHeight="1">
      <c r="A42" s="19" t="n"/>
      <c r="B42" s="20" t="n"/>
      <c r="C42" s="21" t="n"/>
      <c r="D42" s="21" t="n"/>
      <c r="E42" s="22" t="n"/>
      <c r="F42" s="21">
        <f>IF(B42="","",IF(A42=TRUE,"Xong",IF(E42="","",IF(E42&lt;TODAY(),"Trễ hạn",IF(E42=TODAY(),"Hôm nay","Sắp tới")))))</f>
        <v/>
      </c>
      <c r="G42" s="20" t="n"/>
    </row>
    <row r="43" ht="20" customHeight="1">
      <c r="A43" s="15" t="n"/>
      <c r="B43" s="16" t="n"/>
      <c r="C43" s="17" t="n"/>
      <c r="D43" s="17" t="n"/>
      <c r="E43" s="18" t="n"/>
      <c r="F43" s="17">
        <f>IF(B43="","",IF(A43=TRUE,"Xong",IF(E43="","",IF(E43&lt;TODAY(),"Trễ hạn",IF(E43=TODAY(),"Hôm nay","Sắp tới")))))</f>
        <v/>
      </c>
      <c r="G43" s="16" t="n"/>
    </row>
    <row r="44" ht="20" customHeight="1">
      <c r="A44" s="19" t="n"/>
      <c r="B44" s="20" t="n"/>
      <c r="C44" s="21" t="n"/>
      <c r="D44" s="21" t="n"/>
      <c r="E44" s="22" t="n"/>
      <c r="F44" s="21">
        <f>IF(B44="","",IF(A44=TRUE,"Xong",IF(E44="","",IF(E44&lt;TODAY(),"Trễ hạn",IF(E44=TODAY(),"Hôm nay","Sắp tới")))))</f>
        <v/>
      </c>
      <c r="G44" s="20" t="n"/>
    </row>
    <row r="45" ht="20" customHeight="1">
      <c r="A45" s="15" t="n"/>
      <c r="B45" s="16" t="n"/>
      <c r="C45" s="17" t="n"/>
      <c r="D45" s="17" t="n"/>
      <c r="E45" s="18" t="n"/>
      <c r="F45" s="17">
        <f>IF(B45="","",IF(A45=TRUE,"Xong",IF(E45="","",IF(E45&lt;TODAY(),"Trễ hạn",IF(E45=TODAY(),"Hôm nay","Sắp tới")))))</f>
        <v/>
      </c>
      <c r="G45" s="16" t="n"/>
    </row>
    <row r="46" ht="20" customHeight="1">
      <c r="A46" s="19" t="n"/>
      <c r="B46" s="20" t="n"/>
      <c r="C46" s="21" t="n"/>
      <c r="D46" s="21" t="n"/>
      <c r="E46" s="22" t="n"/>
      <c r="F46" s="21">
        <f>IF(B46="","",IF(A46=TRUE,"Xong",IF(E46="","",IF(E46&lt;TODAY(),"Trễ hạn",IF(E46=TODAY(),"Hôm nay","Sắp tới")))))</f>
        <v/>
      </c>
      <c r="G46" s="20" t="n"/>
    </row>
    <row r="47" ht="20" customHeight="1">
      <c r="A47" s="15" t="n"/>
      <c r="B47" s="16" t="n"/>
      <c r="C47" s="17" t="n"/>
      <c r="D47" s="17" t="n"/>
      <c r="E47" s="18" t="n"/>
      <c r="F47" s="17">
        <f>IF(B47="","",IF(A47=TRUE,"Xong",IF(E47="","",IF(E47&lt;TODAY(),"Trễ hạn",IF(E47=TODAY(),"Hôm nay","Sắp tới")))))</f>
        <v/>
      </c>
      <c r="G47" s="16" t="n"/>
    </row>
    <row r="48" ht="20" customHeight="1">
      <c r="A48" s="19" t="n"/>
      <c r="B48" s="20" t="n"/>
      <c r="C48" s="21" t="n"/>
      <c r="D48" s="21" t="n"/>
      <c r="E48" s="22" t="n"/>
      <c r="F48" s="21">
        <f>IF(B48="","",IF(A48=TRUE,"Xong",IF(E48="","",IF(E48&lt;TODAY(),"Trễ hạn",IF(E48=TODAY(),"Hôm nay","Sắp tới")))))</f>
        <v/>
      </c>
      <c r="G48" s="20" t="n"/>
    </row>
    <row r="49" ht="20" customHeight="1">
      <c r="A49" s="15" t="n"/>
      <c r="B49" s="16" t="n"/>
      <c r="C49" s="17" t="n"/>
      <c r="D49" s="17" t="n"/>
      <c r="E49" s="18" t="n"/>
      <c r="F49" s="17">
        <f>IF(B49="","",IF(A49=TRUE,"Xong",IF(E49="","",IF(E49&lt;TODAY(),"Trễ hạn",IF(E49=TODAY(),"Hôm nay","Sắp tới")))))</f>
        <v/>
      </c>
      <c r="G49" s="16" t="n"/>
    </row>
    <row r="50" ht="20" customHeight="1">
      <c r="A50" s="19" t="n"/>
      <c r="B50" s="20" t="n"/>
      <c r="C50" s="21" t="n"/>
      <c r="D50" s="21" t="n"/>
      <c r="E50" s="22" t="n"/>
      <c r="F50" s="21">
        <f>IF(B50="","",IF(A50=TRUE,"Xong",IF(E50="","",IF(E50&lt;TODAY(),"Trễ hạn",IF(E50=TODAY(),"Hôm nay","Sắp tới")))))</f>
        <v/>
      </c>
      <c r="G50" s="20" t="n"/>
    </row>
    <row r="51" ht="20" customHeight="1">
      <c r="A51" s="15" t="n"/>
      <c r="B51" s="16" t="n"/>
      <c r="C51" s="17" t="n"/>
      <c r="D51" s="17" t="n"/>
      <c r="E51" s="18" t="n"/>
      <c r="F51" s="17">
        <f>IF(B51="","",IF(A51=TRUE,"Xong",IF(E51="","",IF(E51&lt;TODAY(),"Trễ hạn",IF(E51=TODAY(),"Hôm nay","Sắp tới")))))</f>
        <v/>
      </c>
      <c r="G51" s="16" t="n"/>
    </row>
    <row r="52" ht="20" customHeight="1">
      <c r="A52" s="19" t="n"/>
      <c r="B52" s="20" t="n"/>
      <c r="C52" s="21" t="n"/>
      <c r="D52" s="21" t="n"/>
      <c r="E52" s="22" t="n"/>
      <c r="F52" s="21">
        <f>IF(B52="","",IF(A52=TRUE,"Xong",IF(E52="","",IF(E52&lt;TODAY(),"Trễ hạn",IF(E52=TODAY(),"Hôm nay","Sắp tới")))))</f>
        <v/>
      </c>
      <c r="G52" s="20" t="n"/>
    </row>
    <row r="53" ht="20" customHeight="1">
      <c r="A53" s="15" t="n"/>
      <c r="B53" s="16" t="n"/>
      <c r="C53" s="17" t="n"/>
      <c r="D53" s="17" t="n"/>
      <c r="E53" s="18" t="n"/>
      <c r="F53" s="17">
        <f>IF(B53="","",IF(A53=TRUE,"Xong",IF(E53="","",IF(E53&lt;TODAY(),"Trễ hạn",IF(E53=TODAY(),"Hôm nay","Sắp tới")))))</f>
        <v/>
      </c>
      <c r="G53" s="16" t="n"/>
    </row>
    <row r="54" ht="20" customHeight="1">
      <c r="A54" s="19" t="n"/>
      <c r="B54" s="20" t="n"/>
      <c r="C54" s="21" t="n"/>
      <c r="D54" s="21" t="n"/>
      <c r="E54" s="22" t="n"/>
      <c r="F54" s="21">
        <f>IF(B54="","",IF(A54=TRUE,"Xong",IF(E54="","",IF(E54&lt;TODAY(),"Trễ hạn",IF(E54=TODAY(),"Hôm nay","Sắp tới")))))</f>
        <v/>
      </c>
      <c r="G54" s="20" t="n"/>
    </row>
    <row r="55" ht="20" customHeight="1">
      <c r="A55" s="15" t="n"/>
      <c r="B55" s="16" t="n"/>
      <c r="C55" s="17" t="n"/>
      <c r="D55" s="17" t="n"/>
      <c r="E55" s="18" t="n"/>
      <c r="F55" s="17">
        <f>IF(B55="","",IF(A55=TRUE,"Xong",IF(E55="","",IF(E55&lt;TODAY(),"Trễ hạn",IF(E55=TODAY(),"Hôm nay","Sắp tới")))))</f>
        <v/>
      </c>
      <c r="G55" s="16" t="n"/>
    </row>
    <row r="56" ht="20" customHeight="1">
      <c r="A56" s="19" t="n"/>
      <c r="B56" s="20" t="n"/>
      <c r="C56" s="21" t="n"/>
      <c r="D56" s="21" t="n"/>
      <c r="E56" s="22" t="n"/>
      <c r="F56" s="21">
        <f>IF(B56="","",IF(A56=TRUE,"Xong",IF(E56="","",IF(E56&lt;TODAY(),"Trễ hạn",IF(E56=TODAY(),"Hôm nay","Sắp tới")))))</f>
        <v/>
      </c>
      <c r="G56" s="20" t="n"/>
    </row>
    <row r="57" ht="20" customHeight="1">
      <c r="A57" s="15" t="n"/>
      <c r="B57" s="16" t="n"/>
      <c r="C57" s="17" t="n"/>
      <c r="D57" s="17" t="n"/>
      <c r="E57" s="18" t="n"/>
      <c r="F57" s="17">
        <f>IF(B57="","",IF(A57=TRUE,"Xong",IF(E57="","",IF(E57&lt;TODAY(),"Trễ hạn",IF(E57=TODAY(),"Hôm nay","Sắp tới")))))</f>
        <v/>
      </c>
      <c r="G57" s="16" t="n"/>
    </row>
    <row r="58" ht="20" customHeight="1">
      <c r="A58" s="19" t="n"/>
      <c r="B58" s="20" t="n"/>
      <c r="C58" s="21" t="n"/>
      <c r="D58" s="21" t="n"/>
      <c r="E58" s="22" t="n"/>
      <c r="F58" s="21">
        <f>IF(B58="","",IF(A58=TRUE,"Xong",IF(E58="","",IF(E58&lt;TODAY(),"Trễ hạn",IF(E58=TODAY(),"Hôm nay","Sắp tới")))))</f>
        <v/>
      </c>
      <c r="G58" s="20" t="n"/>
    </row>
    <row r="59" ht="20" customHeight="1">
      <c r="A59" s="15" t="n"/>
      <c r="B59" s="16" t="n"/>
      <c r="C59" s="17" t="n"/>
      <c r="D59" s="17" t="n"/>
      <c r="E59" s="18" t="n"/>
      <c r="F59" s="17">
        <f>IF(B59="","",IF(A59=TRUE,"Xong",IF(E59="","",IF(E59&lt;TODAY(),"Trễ hạn",IF(E59=TODAY(),"Hôm nay","Sắp tới")))))</f>
        <v/>
      </c>
      <c r="G59" s="16" t="n"/>
    </row>
    <row r="60" ht="20" customHeight="1">
      <c r="A60" s="19" t="n"/>
      <c r="B60" s="20" t="n"/>
      <c r="C60" s="21" t="n"/>
      <c r="D60" s="21" t="n"/>
      <c r="E60" s="22" t="n"/>
      <c r="F60" s="21">
        <f>IF(B60="","",IF(A60=TRUE,"Xong",IF(E60="","",IF(E60&lt;TODAY(),"Trễ hạn",IF(E60=TODAY(),"Hôm nay","Sắp tới")))))</f>
        <v/>
      </c>
      <c r="G60" s="20" t="n"/>
    </row>
    <row r="61" ht="20" customHeight="1">
      <c r="A61" s="15" t="n"/>
      <c r="B61" s="16" t="n"/>
      <c r="C61" s="17" t="n"/>
      <c r="D61" s="17" t="n"/>
      <c r="E61" s="18" t="n"/>
      <c r="F61" s="17">
        <f>IF(B61="","",IF(A61=TRUE,"Xong",IF(E61="","",IF(E61&lt;TODAY(),"Trễ hạn",IF(E61=TODAY(),"Hôm nay","Sắp tới")))))</f>
        <v/>
      </c>
      <c r="G61" s="16" t="n"/>
    </row>
    <row r="62" ht="20" customHeight="1">
      <c r="A62" s="19" t="n"/>
      <c r="B62" s="20" t="n"/>
      <c r="C62" s="21" t="n"/>
      <c r="D62" s="21" t="n"/>
      <c r="E62" s="22" t="n"/>
      <c r="F62" s="21">
        <f>IF(B62="","",IF(A62=TRUE,"Xong",IF(E62="","",IF(E62&lt;TODAY(),"Trễ hạn",IF(E62=TODAY(),"Hôm nay","Sắp tới")))))</f>
        <v/>
      </c>
      <c r="G62" s="20" t="n"/>
    </row>
    <row r="63" ht="20" customHeight="1">
      <c r="A63" s="15" t="n"/>
      <c r="B63" s="16" t="n"/>
      <c r="C63" s="17" t="n"/>
      <c r="D63" s="17" t="n"/>
      <c r="E63" s="18" t="n"/>
      <c r="F63" s="17">
        <f>IF(B63="","",IF(A63=TRUE,"Xong",IF(E63="","",IF(E63&lt;TODAY(),"Trễ hạn",IF(E63=TODAY(),"Hôm nay","Sắp tới")))))</f>
        <v/>
      </c>
      <c r="G63" s="16" t="n"/>
    </row>
    <row r="64" ht="20" customHeight="1">
      <c r="A64" s="19" t="n"/>
      <c r="B64" s="20" t="n"/>
      <c r="C64" s="21" t="n"/>
      <c r="D64" s="21" t="n"/>
      <c r="E64" s="22" t="n"/>
      <c r="F64" s="21">
        <f>IF(B64="","",IF(A64=TRUE,"Xong",IF(E64="","",IF(E64&lt;TODAY(),"Trễ hạn",IF(E64=TODAY(),"Hôm nay","Sắp tới")))))</f>
        <v/>
      </c>
      <c r="G64" s="20" t="n"/>
    </row>
    <row r="65" ht="20" customHeight="1">
      <c r="A65" s="15" t="n"/>
      <c r="B65" s="16" t="n"/>
      <c r="C65" s="17" t="n"/>
      <c r="D65" s="17" t="n"/>
      <c r="E65" s="18" t="n"/>
      <c r="F65" s="17">
        <f>IF(B65="","",IF(A65=TRUE,"Xong",IF(E65="","",IF(E65&lt;TODAY(),"Trễ hạn",IF(E65=TODAY(),"Hôm nay","Sắp tới")))))</f>
        <v/>
      </c>
      <c r="G65" s="16" t="n"/>
    </row>
    <row r="66" ht="20" customHeight="1">
      <c r="A66" s="19" t="n"/>
      <c r="B66" s="20" t="n"/>
      <c r="C66" s="21" t="n"/>
      <c r="D66" s="21" t="n"/>
      <c r="E66" s="22" t="n"/>
      <c r="F66" s="21">
        <f>IF(B66="","",IF(A66=TRUE,"Xong",IF(E66="","",IF(E66&lt;TODAY(),"Trễ hạn",IF(E66=TODAY(),"Hôm nay","Sắp tới")))))</f>
        <v/>
      </c>
      <c r="G66" s="20" t="n"/>
    </row>
    <row r="67" ht="20" customHeight="1">
      <c r="A67" s="15" t="n"/>
      <c r="B67" s="16" t="n"/>
      <c r="C67" s="17" t="n"/>
      <c r="D67" s="17" t="n"/>
      <c r="E67" s="18" t="n"/>
      <c r="F67" s="17">
        <f>IF(B67="","",IF(A67=TRUE,"Xong",IF(E67="","",IF(E67&lt;TODAY(),"Trễ hạn",IF(E67=TODAY(),"Hôm nay","Sắp tới")))))</f>
        <v/>
      </c>
      <c r="G67" s="16" t="n"/>
    </row>
    <row r="68" ht="20" customHeight="1">
      <c r="A68" s="19" t="n"/>
      <c r="B68" s="20" t="n"/>
      <c r="C68" s="21" t="n"/>
      <c r="D68" s="21" t="n"/>
      <c r="E68" s="22" t="n"/>
      <c r="F68" s="21">
        <f>IF(B68="","",IF(A68=TRUE,"Xong",IF(E68="","",IF(E68&lt;TODAY(),"Trễ hạn",IF(E68=TODAY(),"Hôm nay","Sắp tới")))))</f>
        <v/>
      </c>
      <c r="G68" s="20" t="n"/>
    </row>
    <row r="69" ht="20" customHeight="1">
      <c r="A69" s="15" t="n"/>
      <c r="B69" s="16" t="n"/>
      <c r="C69" s="17" t="n"/>
      <c r="D69" s="17" t="n"/>
      <c r="E69" s="18" t="n"/>
      <c r="F69" s="17">
        <f>IF(B69="","",IF(A69=TRUE,"Xong",IF(E69="","",IF(E69&lt;TODAY(),"Trễ hạn",IF(E69=TODAY(),"Hôm nay","Sắp tới")))))</f>
        <v/>
      </c>
      <c r="G69" s="16" t="n"/>
    </row>
    <row r="70" ht="20" customHeight="1">
      <c r="A70" s="19" t="n"/>
      <c r="B70" s="20" t="n"/>
      <c r="C70" s="21" t="n"/>
      <c r="D70" s="21" t="n"/>
      <c r="E70" s="22" t="n"/>
      <c r="F70" s="21">
        <f>IF(B70="","",IF(A70=TRUE,"Xong",IF(E70="","",IF(E70&lt;TODAY(),"Trễ hạn",IF(E70=TODAY(),"Hôm nay","Sắp tới")))))</f>
        <v/>
      </c>
      <c r="G70" s="20" t="n"/>
    </row>
    <row r="71" ht="20" customHeight="1">
      <c r="A71" s="15" t="n"/>
      <c r="B71" s="16" t="n"/>
      <c r="C71" s="17" t="n"/>
      <c r="D71" s="17" t="n"/>
      <c r="E71" s="18" t="n"/>
      <c r="F71" s="17">
        <f>IF(B71="","",IF(A71=TRUE,"Xong",IF(E71="","",IF(E71&lt;TODAY(),"Trễ hạn",IF(E71=TODAY(),"Hôm nay","Sắp tới")))))</f>
        <v/>
      </c>
      <c r="G71" s="16" t="n"/>
    </row>
    <row r="72" ht="20" customHeight="1">
      <c r="A72" s="19" t="n"/>
      <c r="B72" s="20" t="n"/>
      <c r="C72" s="21" t="n"/>
      <c r="D72" s="21" t="n"/>
      <c r="E72" s="22" t="n"/>
      <c r="F72" s="21">
        <f>IF(B72="","",IF(A72=TRUE,"Xong",IF(E72="","",IF(E72&lt;TODAY(),"Trễ hạn",IF(E72=TODAY(),"Hôm nay","Sắp tới")))))</f>
        <v/>
      </c>
      <c r="G72" s="20" t="n"/>
    </row>
    <row r="73" ht="20" customHeight="1">
      <c r="A73" s="15" t="n"/>
      <c r="B73" s="16" t="n"/>
      <c r="C73" s="17" t="n"/>
      <c r="D73" s="17" t="n"/>
      <c r="E73" s="18" t="n"/>
      <c r="F73" s="17">
        <f>IF(B73="","",IF(A73=TRUE,"Xong",IF(E73="","",IF(E73&lt;TODAY(),"Trễ hạn",IF(E73=TODAY(),"Hôm nay","Sắp tới")))))</f>
        <v/>
      </c>
      <c r="G73" s="16" t="n"/>
    </row>
    <row r="74" ht="20" customHeight="1">
      <c r="A74" s="19" t="n"/>
      <c r="B74" s="20" t="n"/>
      <c r="C74" s="21" t="n"/>
      <c r="D74" s="21" t="n"/>
      <c r="E74" s="22" t="n"/>
      <c r="F74" s="21">
        <f>IF(B74="","",IF(A74=TRUE,"Xong",IF(E74="","",IF(E74&lt;TODAY(),"Trễ hạn",IF(E74=TODAY(),"Hôm nay","Sắp tới")))))</f>
        <v/>
      </c>
      <c r="G74" s="20" t="n"/>
    </row>
    <row r="75" ht="20" customHeight="1">
      <c r="A75" s="15" t="n"/>
      <c r="B75" s="16" t="n"/>
      <c r="C75" s="17" t="n"/>
      <c r="D75" s="17" t="n"/>
      <c r="E75" s="18" t="n"/>
      <c r="F75" s="17">
        <f>IF(B75="","",IF(A75=TRUE,"Xong",IF(E75="","",IF(E75&lt;TODAY(),"Trễ hạn",IF(E75=TODAY(),"Hôm nay","Sắp tới")))))</f>
        <v/>
      </c>
      <c r="G75" s="16" t="n"/>
    </row>
    <row r="76" ht="20" customHeight="1">
      <c r="A76" s="19" t="n"/>
      <c r="B76" s="20" t="n"/>
      <c r="C76" s="21" t="n"/>
      <c r="D76" s="21" t="n"/>
      <c r="E76" s="22" t="n"/>
      <c r="F76" s="21">
        <f>IF(B76="","",IF(A76=TRUE,"Xong",IF(E76="","",IF(E76&lt;TODAY(),"Trễ hạn",IF(E76=TODAY(),"Hôm nay","Sắp tới")))))</f>
        <v/>
      </c>
      <c r="G76" s="20" t="n"/>
    </row>
    <row r="77" ht="20" customHeight="1">
      <c r="A77" s="15" t="n"/>
      <c r="B77" s="16" t="n"/>
      <c r="C77" s="17" t="n"/>
      <c r="D77" s="17" t="n"/>
      <c r="E77" s="18" t="n"/>
      <c r="F77" s="17">
        <f>IF(B77="","",IF(A77=TRUE,"Xong",IF(E77="","",IF(E77&lt;TODAY(),"Trễ hạn",IF(E77=TODAY(),"Hôm nay","Sắp tới")))))</f>
        <v/>
      </c>
      <c r="G77" s="16" t="n"/>
    </row>
    <row r="78" ht="20" customHeight="1">
      <c r="A78" s="19" t="n"/>
      <c r="B78" s="20" t="n"/>
      <c r="C78" s="21" t="n"/>
      <c r="D78" s="21" t="n"/>
      <c r="E78" s="22" t="n"/>
      <c r="F78" s="21">
        <f>IF(B78="","",IF(A78=TRUE,"Xong",IF(E78="","",IF(E78&lt;TODAY(),"Trễ hạn",IF(E78=TODAY(),"Hôm nay","Sắp tới")))))</f>
        <v/>
      </c>
      <c r="G78" s="20" t="n"/>
    </row>
    <row r="79" ht="20" customHeight="1">
      <c r="A79" s="15" t="n"/>
      <c r="B79" s="16" t="n"/>
      <c r="C79" s="17" t="n"/>
      <c r="D79" s="17" t="n"/>
      <c r="E79" s="18" t="n"/>
      <c r="F79" s="17">
        <f>IF(B79="","",IF(A79=TRUE,"Xong",IF(E79="","",IF(E79&lt;TODAY(),"Trễ hạn",IF(E79=TODAY(),"Hôm nay","Sắp tới")))))</f>
        <v/>
      </c>
      <c r="G79" s="16" t="n"/>
    </row>
    <row r="80" ht="20" customHeight="1">
      <c r="A80" s="19" t="n"/>
      <c r="B80" s="20" t="n"/>
      <c r="C80" s="21" t="n"/>
      <c r="D80" s="21" t="n"/>
      <c r="E80" s="22" t="n"/>
      <c r="F80" s="21">
        <f>IF(B80="","",IF(A80=TRUE,"Xong",IF(E80="","",IF(E80&lt;TODAY(),"Trễ hạn",IF(E80=TODAY(),"Hôm nay","Sắp tới")))))</f>
        <v/>
      </c>
      <c r="G80" s="20" t="n"/>
    </row>
    <row r="81" ht="20" customHeight="1">
      <c r="A81" s="15" t="n"/>
      <c r="B81" s="16" t="n"/>
      <c r="C81" s="17" t="n"/>
      <c r="D81" s="17" t="n"/>
      <c r="E81" s="18" t="n"/>
      <c r="F81" s="17">
        <f>IF(B81="","",IF(A81=TRUE,"Xong",IF(E81="","",IF(E81&lt;TODAY(),"Trễ hạn",IF(E81=TODAY(),"Hôm nay","Sắp tới")))))</f>
        <v/>
      </c>
      <c r="G81" s="16" t="n"/>
    </row>
    <row r="82" ht="20" customHeight="1">
      <c r="A82" s="19" t="n"/>
      <c r="B82" s="20" t="n"/>
      <c r="C82" s="21" t="n"/>
      <c r="D82" s="21" t="n"/>
      <c r="E82" s="22" t="n"/>
      <c r="F82" s="21">
        <f>IF(B82="","",IF(A82=TRUE,"Xong",IF(E82="","",IF(E82&lt;TODAY(),"Trễ hạn",IF(E82=TODAY(),"Hôm nay","Sắp tới")))))</f>
        <v/>
      </c>
      <c r="G82" s="20" t="n"/>
    </row>
    <row r="83" ht="20" customHeight="1">
      <c r="A83" s="15" t="n"/>
      <c r="B83" s="16" t="n"/>
      <c r="C83" s="17" t="n"/>
      <c r="D83" s="17" t="n"/>
      <c r="E83" s="18" t="n"/>
      <c r="F83" s="17">
        <f>IF(B83="","",IF(A83=TRUE,"Xong",IF(E83="","",IF(E83&lt;TODAY(),"Trễ hạn",IF(E83=TODAY(),"Hôm nay","Sắp tới")))))</f>
        <v/>
      </c>
      <c r="G83" s="16" t="n"/>
    </row>
    <row r="84" ht="20" customHeight="1">
      <c r="A84" s="19" t="n"/>
      <c r="B84" s="20" t="n"/>
      <c r="C84" s="21" t="n"/>
      <c r="D84" s="21" t="n"/>
      <c r="E84" s="22" t="n"/>
      <c r="F84" s="21">
        <f>IF(B84="","",IF(A84=TRUE,"Xong",IF(E84="","",IF(E84&lt;TODAY(),"Trễ hạn",IF(E84=TODAY(),"Hôm nay","Sắp tới")))))</f>
        <v/>
      </c>
      <c r="G84" s="20" t="n"/>
    </row>
    <row r="85" ht="20" customHeight="1">
      <c r="A85" s="15" t="n"/>
      <c r="B85" s="16" t="n"/>
      <c r="C85" s="17" t="n"/>
      <c r="D85" s="17" t="n"/>
      <c r="E85" s="18" t="n"/>
      <c r="F85" s="17">
        <f>IF(B85="","",IF(A85=TRUE,"Xong",IF(E85="","",IF(E85&lt;TODAY(),"Trễ hạn",IF(E85=TODAY(),"Hôm nay","Sắp tới")))))</f>
        <v/>
      </c>
      <c r="G85" s="16" t="n"/>
    </row>
    <row r="86" ht="20" customHeight="1">
      <c r="A86" s="19" t="n"/>
      <c r="B86" s="20" t="n"/>
      <c r="C86" s="21" t="n"/>
      <c r="D86" s="21" t="n"/>
      <c r="E86" s="22" t="n"/>
      <c r="F86" s="21">
        <f>IF(B86="","",IF(A86=TRUE,"Xong",IF(E86="","",IF(E86&lt;TODAY(),"Trễ hạn",IF(E86=TODAY(),"Hôm nay","Sắp tới")))))</f>
        <v/>
      </c>
      <c r="G86" s="20" t="n"/>
    </row>
  </sheetData>
  <autoFilter ref="A6:G86"/>
  <mergeCells count="11">
    <mergeCell ref="I12:J12"/>
    <mergeCell ref="I4:J4"/>
    <mergeCell ref="A1:G1"/>
    <mergeCell ref="I6:J6"/>
    <mergeCell ref="I7:J7"/>
    <mergeCell ref="I11:J11"/>
    <mergeCell ref="A2:G2"/>
    <mergeCell ref="I5:J5"/>
    <mergeCell ref="I13:J13"/>
    <mergeCell ref="I8:J8"/>
    <mergeCell ref="I9:J9"/>
  </mergeCells>
  <conditionalFormatting sqref="A7:G86">
    <cfRule type="expression" priority="1" dxfId="0">
      <formula>$A7=TRUE</formula>
    </cfRule>
  </conditionalFormatting>
  <conditionalFormatting sqref="F7:F86">
    <cfRule type="expression" priority="2" dxfId="1">
      <formula>$F7="Trễ hạn"</formula>
    </cfRule>
    <cfRule type="expression" priority="4" dxfId="2">
      <formula>$F7="Hôm nay"</formula>
    </cfRule>
    <cfRule type="expression" priority="8" dxfId="3">
      <formula>$F7="Xong"</formula>
    </cfRule>
  </conditionalFormatting>
  <conditionalFormatting sqref="E7:E86">
    <cfRule type="expression" priority="3" dxfId="1">
      <formula>AND($F7="Trễ hạn",$B7&lt;&gt;"")</formula>
    </cfRule>
  </conditionalFormatting>
  <conditionalFormatting sqref="C7:C86">
    <cfRule type="expression" priority="5" dxfId="1">
      <formula>AND($C7="Cao",$A7&lt;&gt;TRUE,$B7&lt;&gt;"")</formula>
    </cfRule>
    <cfRule type="expression" priority="6" dxfId="4">
      <formula>$C7="Trung bình"</formula>
    </cfRule>
    <cfRule type="expression" priority="7" dxfId="5">
      <formula>$C7="Thấp"</formula>
    </cfRule>
  </conditionalFormatting>
  <dataValidations count="3">
    <dataValidation sqref="C7:C86" showDropDown="0" showInputMessage="0" showErrorMessage="1" allowBlank="1" errorTitle="Ưu tiên" error="Chọn Cao / Trung bình / Thấp" type="list">
      <formula1>"Cao,Trung bình,Thấp"</formula1>
    </dataValidation>
    <dataValidation sqref="D7:D86" showDropDown="0" showInputMessage="0" showErrorMessage="1" allowBlank="1" errorTitle="Phân loại" error="Chọn một phân loại trong danh sách" type="list">
      <formula1>"Đồ án,Môn học,Setup,Cá nhân"</formula1>
    </dataValidation>
    <dataValidation sqref="A7:A86" showDropDown="0" showInputMessage="0" showErrorMessage="0" allowBlank="1" type="list">
      <formula1>"TRUE,FALSE"</formula1>
    </dataValidation>
  </dataValidations>
  <pageMargins left="0.75" right="0.75" top="1" bottom="1" header="0.5" footer="0.5"/>
  <pageSetup orientation="landscape" paperSize="9" fitToHeight="1" fitToWidth="1"/>
  <headerFooter>
    <oddHeader>&amp;LTodo List</oddHeader>
    <oddFooter>&amp;RTrang &amp;P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34A853"/>
    <outlinePr summaryBelow="1" summaryRight="1"/>
    <pageSetUpPr/>
  </sheetPr>
  <dimension ref="A1:A22"/>
  <sheetViews>
    <sheetView showGridLines="0" workbookViewId="0">
      <selection activeCell="A1" sqref="A1"/>
    </sheetView>
  </sheetViews>
  <sheetFormatPr baseColWidth="8" defaultRowHeight="15"/>
  <cols>
    <col width="88" customWidth="1" min="1" max="1"/>
  </cols>
  <sheetData>
    <row r="1" ht="32" customHeight="1">
      <c r="A1" s="24" t="inlineStr">
        <is>
          <t>Mở Todo List trên Google Sheets</t>
        </is>
      </c>
    </row>
    <row r="2" ht="20" customHeight="1">
      <c r="A2" s="25" t="inlineStr"/>
    </row>
    <row r="3" ht="20" customHeight="1">
      <c r="A3" s="26" t="inlineStr">
        <is>
          <t>Cách 1 — nhanh nhất</t>
        </is>
      </c>
    </row>
    <row r="4" ht="20" customHeight="1">
      <c r="A4" s="25" t="inlineStr">
        <is>
          <t xml:space="preserve">  1. Vào https://drive.google.com</t>
        </is>
      </c>
    </row>
    <row r="5" ht="20" customHeight="1">
      <c r="A5" s="25" t="inlineStr">
        <is>
          <t xml:space="preserve">  2. Kéo thả file Todo List.xlsx vào Drive</t>
        </is>
      </c>
    </row>
    <row r="6" ht="20" customHeight="1">
      <c r="A6" s="25" t="inlineStr">
        <is>
          <t xml:space="preserve">  3. Chuột phải file → Mở bằng → Google Sheets</t>
        </is>
      </c>
    </row>
    <row r="7" ht="20" customHeight="1">
      <c r="A7" s="25" t="inlineStr">
        <is>
          <t xml:space="preserve">  4. File → Lưu thành Google Sheets (nếu hỏi)</t>
        </is>
      </c>
    </row>
    <row r="8" ht="20" customHeight="1">
      <c r="A8" s="25" t="inlineStr">
        <is>
          <t xml:space="preserve">  5. Bôi đen A7:A86 → menu Insert → Checkbox</t>
        </is>
      </c>
    </row>
    <row r="9" ht="20" customHeight="1">
      <c r="A9" s="25" t="inlineStr"/>
    </row>
    <row r="10" ht="20" customHeight="1">
      <c r="A10" s="26" t="inlineStr">
        <is>
          <t>Cách 2</t>
        </is>
      </c>
    </row>
    <row r="11" ht="20" customHeight="1">
      <c r="A11" s="25" t="inlineStr">
        <is>
          <t xml:space="preserve">  1. Vào https://sheets.new</t>
        </is>
      </c>
    </row>
    <row r="12" ht="20" customHeight="1">
      <c r="A12" s="25" t="inlineStr">
        <is>
          <t xml:space="preserve">  2. File → Import → Upload → chọn Todo List.xlsx</t>
        </is>
      </c>
    </row>
    <row r="13" ht="20" customHeight="1">
      <c r="A13" s="25" t="inlineStr">
        <is>
          <t xml:space="preserve">  3. Import location: Replace spreadsheet</t>
        </is>
      </c>
    </row>
    <row r="14" ht="20" customHeight="1">
      <c r="A14" s="25" t="inlineStr">
        <is>
          <t xml:space="preserve">  4. Insert → Checkbox cho cột A (A7:A86)</t>
        </is>
      </c>
    </row>
    <row r="15" ht="20" customHeight="1">
      <c r="A15" s="25" t="inlineStr"/>
    </row>
    <row r="16" ht="20" customHeight="1">
      <c r="A16" s="26" t="inlineStr">
        <is>
          <t>Dùng hàng ngày</t>
        </is>
      </c>
    </row>
    <row r="17" ht="20" customHeight="1">
      <c r="A17" s="25" t="inlineStr">
        <is>
          <t xml:space="preserve">  • Thêm việc: gõ vào hàng trống (cột Việc cần làm)</t>
        </is>
      </c>
    </row>
    <row r="18" ht="20" customHeight="1">
      <c r="A18" s="25" t="inlineStr">
        <is>
          <t xml:space="preserve">  • Ưu tiên / Phân loại: bấm mũi tên dropdown</t>
        </is>
      </c>
    </row>
    <row r="19" ht="20" customHeight="1">
      <c r="A19" s="25" t="inlineStr">
        <is>
          <t xml:space="preserve">  • Hạn: nhập ngày dd/mm/yyyy</t>
        </is>
      </c>
    </row>
    <row r="20" ht="20" customHeight="1">
      <c r="A20" s="25" t="inlineStr">
        <is>
          <t xml:space="preserve">  • Trạng thái tự tính: Xong / Trễ hạn / Hôm nay / Sắp tới</t>
        </is>
      </c>
    </row>
    <row r="21" ht="20" customHeight="1">
      <c r="A21" s="25" t="inlineStr">
        <is>
          <t xml:space="preserve">  • Lọc: bấm mũi tên trên hàng tiêu đề</t>
        </is>
      </c>
    </row>
    <row r="22" ht="20" customHeight="1">
      <c r="A22" s="25" t="inlineStr">
        <is>
          <t xml:space="preserve">  • Xóa việc: xóa nội dung hàng (đừng xóa công thức cột F)</t>
        </is>
      </c>
    </row>
  </sheetData>
  <mergeCells count="1">
    <mergeCell ref="A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2026-09-08T09:00:42Z</dcterms:created>
  <dcterms:modified xmlns:dcterms="http://purl.org/dc/terms/" xmlns:xsi="http://www.w3.org/2001/XMLSchema-instance" xsi:type="dcterms:W3CDTF">2026-09-08T09:00:43Z</dcterms:modified>
</cp:coreProperties>
</file>